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BC9CAAAB-F4D3-418F-ABA9-33B9810107C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" sheetId="1" r:id="rId1"/>
  </sheets>
  <definedNames>
    <definedName name="_xlnm._FilterDatabase" localSheetId="0" hidden="1">Data!$A$1:$S$13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S13" i="1"/>
  <c r="M13" i="1"/>
  <c r="L13" i="1"/>
  <c r="Q13" i="1" s="1"/>
  <c r="K13" i="1"/>
  <c r="J13" i="1"/>
  <c r="I13" i="1"/>
  <c r="R13" i="1" s="1"/>
  <c r="S12" i="1"/>
  <c r="M12" i="1"/>
  <c r="L12" i="1"/>
  <c r="Q12" i="1" s="1"/>
  <c r="K12" i="1"/>
  <c r="J12" i="1"/>
  <c r="I12" i="1"/>
  <c r="R12" i="1" s="1"/>
  <c r="S11" i="1"/>
  <c r="M11" i="1"/>
  <c r="L11" i="1"/>
  <c r="Q11" i="1" s="1"/>
  <c r="K11" i="1"/>
  <c r="J11" i="1"/>
  <c r="I11" i="1"/>
  <c r="R11" i="1" s="1"/>
  <c r="S10" i="1"/>
  <c r="M10" i="1"/>
  <c r="L10" i="1"/>
  <c r="Q10" i="1" s="1"/>
  <c r="K10" i="1"/>
  <c r="J10" i="1"/>
  <c r="I10" i="1"/>
  <c r="R10" i="1" s="1"/>
  <c r="S9" i="1"/>
  <c r="M9" i="1"/>
  <c r="L9" i="1"/>
  <c r="Q9" i="1" s="1"/>
  <c r="K9" i="1"/>
  <c r="J9" i="1"/>
  <c r="I9" i="1"/>
  <c r="R9" i="1" s="1"/>
  <c r="S8" i="1"/>
  <c r="M8" i="1"/>
  <c r="L8" i="1"/>
  <c r="Q8" i="1" s="1"/>
  <c r="K8" i="1"/>
  <c r="J8" i="1"/>
  <c r="I8" i="1"/>
  <c r="R8" i="1" s="1"/>
  <c r="S7" i="1"/>
  <c r="M7" i="1"/>
  <c r="L7" i="1"/>
  <c r="Q7" i="1" s="1"/>
  <c r="K7" i="1"/>
  <c r="J7" i="1"/>
  <c r="I7" i="1"/>
  <c r="R7" i="1" s="1"/>
  <c r="S6" i="1"/>
  <c r="M6" i="1"/>
  <c r="L6" i="1"/>
  <c r="Q6" i="1" s="1"/>
  <c r="K6" i="1"/>
  <c r="J6" i="1"/>
  <c r="I6" i="1"/>
  <c r="R6" i="1" s="1"/>
  <c r="S5" i="1"/>
  <c r="M5" i="1"/>
  <c r="L5" i="1"/>
  <c r="Q5" i="1" s="1"/>
  <c r="K5" i="1"/>
  <c r="J5" i="1"/>
  <c r="I5" i="1"/>
  <c r="R5" i="1" s="1"/>
  <c r="S4" i="1"/>
  <c r="M4" i="1"/>
  <c r="L4" i="1"/>
  <c r="Q4" i="1" s="1"/>
  <c r="K4" i="1"/>
  <c r="J4" i="1"/>
  <c r="I4" i="1"/>
  <c r="R4" i="1" s="1"/>
  <c r="S3" i="1"/>
  <c r="M3" i="1"/>
  <c r="L3" i="1"/>
  <c r="Q3" i="1" s="1"/>
  <c r="K3" i="1"/>
  <c r="J3" i="1"/>
  <c r="I3" i="1"/>
  <c r="R3" i="1" s="1"/>
  <c r="S2" i="1"/>
  <c r="M2" i="1"/>
  <c r="L2" i="1"/>
  <c r="Q2" i="1" s="1"/>
  <c r="K2" i="1"/>
  <c r="J2" i="1"/>
  <c r="R2" i="1"/>
  <c r="P2" i="1" l="1"/>
  <c r="O2" i="1"/>
  <c r="N2" i="1"/>
  <c r="P3" i="1"/>
  <c r="O3" i="1"/>
  <c r="N3" i="1"/>
  <c r="P4" i="1"/>
  <c r="O4" i="1"/>
  <c r="N4" i="1"/>
  <c r="P5" i="1"/>
  <c r="O5" i="1"/>
  <c r="N5" i="1"/>
  <c r="P6" i="1"/>
  <c r="O6" i="1"/>
  <c r="N6" i="1"/>
  <c r="P7" i="1"/>
  <c r="O7" i="1"/>
  <c r="N7" i="1"/>
  <c r="P8" i="1"/>
  <c r="O8" i="1"/>
  <c r="N8" i="1"/>
  <c r="P9" i="1"/>
  <c r="O9" i="1"/>
  <c r="N9" i="1"/>
  <c r="P10" i="1"/>
  <c r="O10" i="1"/>
  <c r="N10" i="1"/>
  <c r="P11" i="1"/>
  <c r="O11" i="1"/>
  <c r="N11" i="1"/>
  <c r="P12" i="1"/>
  <c r="O12" i="1"/>
  <c r="N12" i="1"/>
  <c r="P13" i="1"/>
  <c r="O13" i="1"/>
  <c r="N13" i="1"/>
</calcChain>
</file>

<file path=xl/sharedStrings.xml><?xml version="1.0" encoding="utf-8"?>
<sst xmlns="http://schemas.openxmlformats.org/spreadsheetml/2006/main" count="31" uniqueCount="31">
  <si>
    <t>Date</t>
  </si>
  <si>
    <t>Month</t>
  </si>
  <si>
    <t>Revenue</t>
  </si>
  <si>
    <t>Budget Revenue</t>
  </si>
  <si>
    <t>COGS</t>
  </si>
  <si>
    <t>Budget COGS</t>
  </si>
  <si>
    <t>OPEX</t>
  </si>
  <si>
    <t>Budget OPEX</t>
  </si>
  <si>
    <t>Gross Profit</t>
  </si>
  <si>
    <t>Budget Gross Profit</t>
  </si>
  <si>
    <t>EBITDA</t>
  </si>
  <si>
    <t>Budget EBITDA</t>
  </si>
  <si>
    <t>Revenue Variance</t>
  </si>
  <si>
    <t>Revenue Variance %</t>
  </si>
  <si>
    <t>EBITDA Variance</t>
  </si>
  <si>
    <t>EBITDA Margin</t>
  </si>
  <si>
    <t>Budget EBITDA Margin</t>
  </si>
  <si>
    <t>Gross Margin</t>
  </si>
  <si>
    <t>OPEX Ratio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</si>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</sst>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(#,##0\);\-"/>
    <numFmt numFmtId="165" formatCode="0.0%;[Red]\(0.0%\);\-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</cellXfs>
  <cellStyles count="1">
    <cellStyle name="Normal" xfId="0" builtinId="0"/>
  </cellStyles>
  <dxfs count="2">
    <dxf>
      <fill>
        <patternFill patternType="solid">
          <fgColor rgb="FFE2F0D9"/>
        </patternFill>
      </fill>
    </dxf>
    <dxf>
      <fill>
        <patternFill patternType="solid">
          <fgColor rgb="FFFCE8E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workbookViewId="0">
      <pane ySplit="1" topLeftCell="A2" activePane="bottomLeft" state="frozen"/>
      <selection pane="bottomLeft" activeCell="C1" sqref="C1:C1048576"/>
    </sheetView>
  </sheetViews>
  <sheetFormatPr defaultRowHeight="15"/>
  <cols>
    <col min="1" max="2" width="13" customWidth="1"/>
    <col min="3" max="3" width="16" customWidth="1"/>
    <col min="4" max="4" width="17" customWidth="1"/>
    <col min="5" max="5" width="15" customWidth="1"/>
    <col min="6" max="6" width="17" customWidth="1"/>
    <col min="7" max="7" width="15" customWidth="1"/>
    <col min="8" max="8" width="17" customWidth="1"/>
    <col min="9" max="9" width="18" customWidth="1"/>
    <col min="10" max="10" width="20" customWidth="1"/>
    <col min="11" max="11" width="16" customWidth="1"/>
    <col min="12" max="13" width="18" customWidth="1"/>
    <col min="14" max="14" width="19" customWidth="1"/>
    <col min="15" max="15" width="18" customWidth="1"/>
    <col min="16" max="16" width="17" customWidth="1"/>
    <col min="17" max="17" width="21" customWidth="1"/>
    <col min="18" max="18" width="16" customWidth="1"/>
    <col min="19" max="19" width="15" customWidth="1"/>
  </cols>
  <sheetData>
    <row r="1" spans="1:19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46023</v>
      </c>
      <c r="B2" s="3" t="s">
        <v>19</v>
      </c>
      <c r="C2" s="4">
        <v>311500</v>
      </c>
      <c r="D2" s="4">
        <v>300800</v>
      </c>
      <c r="E2" s="4">
        <v>122900</v>
      </c>
      <c r="F2" s="4">
        <v>114300</v>
      </c>
      <c r="G2" s="4">
        <v>81900</v>
      </c>
      <c r="H2" s="4">
        <v>81200</v>
      </c>
      <c r="I2" s="5">
        <f>C2-E2</f>
        <v>188600</v>
      </c>
      <c r="J2" s="5">
        <f>D2-F2</f>
        <v>186500</v>
      </c>
      <c r="K2" s="5">
        <f>C2-E2-G2</f>
        <v>106700</v>
      </c>
      <c r="L2" s="5">
        <f>D2-F2-H2</f>
        <v>105300</v>
      </c>
      <c r="M2" s="5">
        <f>C2-D2</f>
        <v>10700</v>
      </c>
      <c r="N2" s="6">
        <f>IFERROR(M2/D2,0)</f>
        <v>3.5571808510638299E-2</v>
      </c>
      <c r="O2" s="5">
        <f>K2-L2</f>
        <v>1400</v>
      </c>
      <c r="P2" s="6">
        <f>IFERROR(K2/C2,0)</f>
        <v>0.34253611556982344</v>
      </c>
      <c r="Q2" s="6">
        <f>IFERROR(L2/D2,0)</f>
        <v>0.35006648936170215</v>
      </c>
      <c r="R2" s="6">
        <f>IFERROR(I2/C2,0)</f>
        <v>0.60545746388443022</v>
      </c>
      <c r="S2" s="6">
        <f>IFERROR(G2/C2,0)</f>
        <v>0.26292134831460673</v>
      </c>
    </row>
    <row r="3" spans="1:19">
      <c r="A3" s="2">
        <v>46054</v>
      </c>
      <c r="B3" s="3" t="s">
        <v>20</v>
      </c>
      <c r="C3" s="4">
        <v>328600</v>
      </c>
      <c r="D3" s="4">
        <v>307200</v>
      </c>
      <c r="E3" s="4">
        <v>122200</v>
      </c>
      <c r="F3" s="4">
        <v>116700</v>
      </c>
      <c r="G3" s="4">
        <v>90700</v>
      </c>
      <c r="H3" s="4">
        <v>82900</v>
      </c>
      <c r="I3" s="5">
        <f>C3-E3</f>
        <v>206400</v>
      </c>
      <c r="J3" s="5">
        <f>D3-F3</f>
        <v>190500</v>
      </c>
      <c r="K3" s="5">
        <f>C3-E3-G3</f>
        <v>115700</v>
      </c>
      <c r="L3" s="5">
        <f>D3-F3-H3</f>
        <v>107600</v>
      </c>
      <c r="M3" s="5">
        <f>C3-D3</f>
        <v>21400</v>
      </c>
      <c r="N3" s="6">
        <f>IFERROR(M3/D3,0)</f>
        <v>6.9661458333333329E-2</v>
      </c>
      <c r="O3" s="5">
        <f>K3-L3</f>
        <v>8100</v>
      </c>
      <c r="P3" s="6">
        <f>IFERROR(K3/C3,0)</f>
        <v>0.35209981740718199</v>
      </c>
      <c r="Q3" s="6">
        <f>IFERROR(L3/D3,0)</f>
        <v>0.35026041666666669</v>
      </c>
      <c r="R3" s="6">
        <f>IFERROR(I3/C3,0)</f>
        <v>0.628119293974437</v>
      </c>
      <c r="S3" s="6">
        <f>IFERROR(G3/C3,0)</f>
        <v>0.27601947656725501</v>
      </c>
    </row>
    <row r="4" spans="1:19">
      <c r="A4" s="2">
        <v>46082</v>
      </c>
      <c r="B4" s="3" t="s">
        <v>21</v>
      </c>
      <c r="C4" s="4">
        <v>304400</v>
      </c>
      <c r="D4" s="4">
        <v>316800</v>
      </c>
      <c r="E4" s="4">
        <v>119200</v>
      </c>
      <c r="F4" s="4">
        <v>120400</v>
      </c>
      <c r="G4" s="4">
        <v>79800</v>
      </c>
      <c r="H4" s="4">
        <v>85500</v>
      </c>
      <c r="I4" s="5">
        <f>C4-E4</f>
        <v>185200</v>
      </c>
      <c r="J4" s="5">
        <f>D4-F4</f>
        <v>196400</v>
      </c>
      <c r="K4" s="5">
        <f>C4-E4-G4</f>
        <v>105400</v>
      </c>
      <c r="L4" s="5">
        <f>D4-F4-H4</f>
        <v>110900</v>
      </c>
      <c r="M4" s="5">
        <f>C4-D4</f>
        <v>-12400</v>
      </c>
      <c r="N4" s="6">
        <f>IFERROR(M4/D4,0)</f>
        <v>-3.9141414141414144E-2</v>
      </c>
      <c r="O4" s="5">
        <f>K4-L4</f>
        <v>-5500</v>
      </c>
      <c r="P4" s="6">
        <f>IFERROR(K4/C4,0)</f>
        <v>0.34625492772667543</v>
      </c>
      <c r="Q4" s="6">
        <f>IFERROR(L4/D4,0)</f>
        <v>0.35006313131313133</v>
      </c>
      <c r="R4" s="6">
        <f>IFERROR(I4/C4,0)</f>
        <v>0.60840998685939551</v>
      </c>
      <c r="S4" s="6">
        <f>IFERROR(G4/C4,0)</f>
        <v>0.26215505913272008</v>
      </c>
    </row>
    <row r="5" spans="1:19">
      <c r="A5" s="2">
        <v>46113</v>
      </c>
      <c r="B5" s="3" t="s">
        <v>22</v>
      </c>
      <c r="C5" s="4">
        <v>331100</v>
      </c>
      <c r="D5" s="4">
        <v>320000</v>
      </c>
      <c r="E5" s="4">
        <v>129200</v>
      </c>
      <c r="F5" s="4">
        <v>121600</v>
      </c>
      <c r="G5" s="4">
        <v>92300</v>
      </c>
      <c r="H5" s="4">
        <v>86400</v>
      </c>
      <c r="I5" s="5">
        <f>C5-E5</f>
        <v>201900</v>
      </c>
      <c r="J5" s="5">
        <f>D5-F5</f>
        <v>198400</v>
      </c>
      <c r="K5" s="5">
        <f>C5-E5-G5</f>
        <v>109600</v>
      </c>
      <c r="L5" s="5">
        <f>D5-F5-H5</f>
        <v>112000</v>
      </c>
      <c r="M5" s="5">
        <f>C5-D5</f>
        <v>11100</v>
      </c>
      <c r="N5" s="6">
        <f>IFERROR(M5/D5,0)</f>
        <v>3.4687500000000003E-2</v>
      </c>
      <c r="O5" s="5">
        <f>K5-L5</f>
        <v>-2400</v>
      </c>
      <c r="P5" s="6">
        <f>IFERROR(K5/C5,0)</f>
        <v>0.33101781938991243</v>
      </c>
      <c r="Q5" s="6">
        <f>IFERROR(L5/D5,0)</f>
        <v>0.35</v>
      </c>
      <c r="R5" s="6">
        <f>IFERROR(I5/C5,0)</f>
        <v>0.6097855632739354</v>
      </c>
      <c r="S5" s="6">
        <f>IFERROR(G5/C5,0)</f>
        <v>0.27876774388402298</v>
      </c>
    </row>
    <row r="6" spans="1:19">
      <c r="A6" s="2">
        <v>46143</v>
      </c>
      <c r="B6" s="3" t="s">
        <v>23</v>
      </c>
      <c r="C6" s="4">
        <v>333800</v>
      </c>
      <c r="D6" s="4">
        <v>332800</v>
      </c>
      <c r="E6" s="4">
        <v>132000</v>
      </c>
      <c r="F6" s="4">
        <v>126500</v>
      </c>
      <c r="G6" s="4">
        <v>95000</v>
      </c>
      <c r="H6" s="4">
        <v>89900</v>
      </c>
      <c r="I6" s="5">
        <f>C6-E6</f>
        <v>201800</v>
      </c>
      <c r="J6" s="5">
        <f>D6-F6</f>
        <v>206300</v>
      </c>
      <c r="K6" s="5">
        <f>C6-E6-G6</f>
        <v>106800</v>
      </c>
      <c r="L6" s="5">
        <f>D6-F6-H6</f>
        <v>116400</v>
      </c>
      <c r="M6" s="5">
        <f>C6-D6</f>
        <v>1000</v>
      </c>
      <c r="N6" s="6">
        <f>IFERROR(M6/D6,0)</f>
        <v>3.0048076923076925E-3</v>
      </c>
      <c r="O6" s="5">
        <f>K6-L6</f>
        <v>-9600</v>
      </c>
      <c r="P6" s="6">
        <f>IFERROR(K6/C6,0)</f>
        <v>0.31995206710605151</v>
      </c>
      <c r="Q6" s="6">
        <f>IFERROR(L6/D6,0)</f>
        <v>0.34975961538461536</v>
      </c>
      <c r="R6" s="6">
        <f>IFERROR(I6/C6,0)</f>
        <v>0.60455362492510489</v>
      </c>
      <c r="S6" s="6">
        <f>IFERROR(G6/C6,0)</f>
        <v>0.28460155781905333</v>
      </c>
    </row>
    <row r="7" spans="1:19">
      <c r="A7" s="2">
        <v>46174</v>
      </c>
      <c r="B7" s="3" t="s">
        <v>24</v>
      </c>
      <c r="C7" s="4">
        <v>326900</v>
      </c>
      <c r="D7" s="4">
        <v>339200</v>
      </c>
      <c r="E7" s="4">
        <v>125200</v>
      </c>
      <c r="F7" s="4">
        <v>128900</v>
      </c>
      <c r="G7" s="4">
        <v>92800</v>
      </c>
      <c r="H7" s="4">
        <v>91600</v>
      </c>
      <c r="I7" s="5">
        <f>C7-E7</f>
        <v>201700</v>
      </c>
      <c r="J7" s="5">
        <f>D7-F7</f>
        <v>210300</v>
      </c>
      <c r="K7" s="5">
        <f>C7-E7-G7</f>
        <v>108900</v>
      </c>
      <c r="L7" s="5">
        <f>D7-F7-H7</f>
        <v>118700</v>
      </c>
      <c r="M7" s="5">
        <f>C7-D7</f>
        <v>-12300</v>
      </c>
      <c r="N7" s="6">
        <f>IFERROR(M7/D7,0)</f>
        <v>-3.6261792452830191E-2</v>
      </c>
      <c r="O7" s="5">
        <f>K7-L7</f>
        <v>-9800</v>
      </c>
      <c r="P7" s="6">
        <f>IFERROR(K7/C7,0)</f>
        <v>0.33312939736922609</v>
      </c>
      <c r="Q7" s="6">
        <f>IFERROR(L7/D7,0)</f>
        <v>0.34994103773584906</v>
      </c>
      <c r="R7" s="6">
        <f>IFERROR(I7/C7,0)</f>
        <v>0.61700825940654636</v>
      </c>
      <c r="S7" s="6">
        <f>IFERROR(G7/C7,0)</f>
        <v>0.28387886203732027</v>
      </c>
    </row>
    <row r="8" spans="1:19">
      <c r="A8" s="2">
        <v>46204</v>
      </c>
      <c r="B8" s="3" t="s">
        <v>25</v>
      </c>
      <c r="C8" s="4">
        <v>359000</v>
      </c>
      <c r="D8" s="4">
        <v>345600</v>
      </c>
      <c r="E8" s="4">
        <v>136600</v>
      </c>
      <c r="F8" s="4">
        <v>131300</v>
      </c>
      <c r="G8" s="4">
        <v>95600</v>
      </c>
      <c r="H8" s="4">
        <v>93300</v>
      </c>
      <c r="I8" s="5">
        <f>C8-E8</f>
        <v>222400</v>
      </c>
      <c r="J8" s="5">
        <f>D8-F8</f>
        <v>214300</v>
      </c>
      <c r="K8" s="5">
        <f>C8-E8-G8</f>
        <v>126800</v>
      </c>
      <c r="L8" s="5">
        <f>D8-F8-H8</f>
        <v>121000</v>
      </c>
      <c r="M8" s="5">
        <f>C8-D8</f>
        <v>13400</v>
      </c>
      <c r="N8" s="6">
        <f>IFERROR(M8/D8,0)</f>
        <v>3.8773148148148147E-2</v>
      </c>
      <c r="O8" s="5">
        <f>K8-L8</f>
        <v>5800</v>
      </c>
      <c r="P8" s="6">
        <f>IFERROR(K8/C8,0)</f>
        <v>0.35320334261838437</v>
      </c>
      <c r="Q8" s="6">
        <f>IFERROR(L8/D8,0)</f>
        <v>0.35011574074074076</v>
      </c>
      <c r="R8" s="6">
        <f>IFERROR(I8/C8,0)</f>
        <v>0.61949860724233985</v>
      </c>
      <c r="S8" s="6">
        <f>IFERROR(G8/C8,0)</f>
        <v>0.26629526462395542</v>
      </c>
    </row>
    <row r="9" spans="1:19">
      <c r="A9" s="2">
        <v>46235</v>
      </c>
      <c r="B9" s="3" t="s">
        <v>26</v>
      </c>
      <c r="C9" s="4">
        <v>357600</v>
      </c>
      <c r="D9" s="4">
        <v>336000</v>
      </c>
      <c r="E9" s="4">
        <v>131600</v>
      </c>
      <c r="F9" s="4">
        <v>127700</v>
      </c>
      <c r="G9" s="4">
        <v>99600</v>
      </c>
      <c r="H9" s="4">
        <v>90700</v>
      </c>
      <c r="I9" s="5">
        <f>C9-E9</f>
        <v>226000</v>
      </c>
      <c r="J9" s="5">
        <f>D9-F9</f>
        <v>208300</v>
      </c>
      <c r="K9" s="5">
        <f>C9-E9-G9</f>
        <v>126400</v>
      </c>
      <c r="L9" s="5">
        <f>D9-F9-H9</f>
        <v>117600</v>
      </c>
      <c r="M9" s="5">
        <f>C9-D9</f>
        <v>21600</v>
      </c>
      <c r="N9" s="6">
        <f>IFERROR(M9/D9,0)</f>
        <v>6.4285714285714279E-2</v>
      </c>
      <c r="O9" s="5">
        <f>K9-L9</f>
        <v>8800</v>
      </c>
      <c r="P9" s="6">
        <f>IFERROR(K9/C9,0)</f>
        <v>0.3534675615212528</v>
      </c>
      <c r="Q9" s="6">
        <f>IFERROR(L9/D9,0)</f>
        <v>0.35</v>
      </c>
      <c r="R9" s="6">
        <f>IFERROR(I9/C9,0)</f>
        <v>0.6319910514541387</v>
      </c>
      <c r="S9" s="6">
        <f>IFERROR(G9/C9,0)</f>
        <v>0.27852348993288589</v>
      </c>
    </row>
    <row r="10" spans="1:19">
      <c r="A10" s="2">
        <v>46266</v>
      </c>
      <c r="B10" s="3" t="s">
        <v>27</v>
      </c>
      <c r="C10" s="4">
        <v>370000</v>
      </c>
      <c r="D10" s="4">
        <v>352000</v>
      </c>
      <c r="E10" s="4">
        <v>137100</v>
      </c>
      <c r="F10" s="4">
        <v>133800</v>
      </c>
      <c r="G10" s="4">
        <v>98700</v>
      </c>
      <c r="H10" s="4">
        <v>95000</v>
      </c>
      <c r="I10" s="5">
        <f>C10-E10</f>
        <v>232900</v>
      </c>
      <c r="J10" s="5">
        <f>D10-F10</f>
        <v>218200</v>
      </c>
      <c r="K10" s="5">
        <f>C10-E10-G10</f>
        <v>134200</v>
      </c>
      <c r="L10" s="5">
        <f>D10-F10-H10</f>
        <v>123200</v>
      </c>
      <c r="M10" s="5">
        <f>C10-D10</f>
        <v>18000</v>
      </c>
      <c r="N10" s="6">
        <f>IFERROR(M10/D10,0)</f>
        <v>5.113636363636364E-2</v>
      </c>
      <c r="O10" s="5">
        <f>K10-L10</f>
        <v>11000</v>
      </c>
      <c r="P10" s="6">
        <f>IFERROR(K10/C10,0)</f>
        <v>0.36270270270270272</v>
      </c>
      <c r="Q10" s="6">
        <f>IFERROR(L10/D10,0)</f>
        <v>0.35</v>
      </c>
      <c r="R10" s="6">
        <f>IFERROR(I10/C10,0)</f>
        <v>0.62945945945945947</v>
      </c>
      <c r="S10" s="6">
        <f>IFERROR(G10/C10,0)</f>
        <v>0.26675675675675675</v>
      </c>
    </row>
    <row r="11" spans="1:19">
      <c r="A11" s="2">
        <v>46296</v>
      </c>
      <c r="B11" s="3" t="s">
        <v>28</v>
      </c>
      <c r="C11" s="4">
        <v>353600</v>
      </c>
      <c r="D11" s="4">
        <v>358400</v>
      </c>
      <c r="E11" s="4">
        <v>135800</v>
      </c>
      <c r="F11" s="4">
        <v>136200</v>
      </c>
      <c r="G11" s="4">
        <v>94700</v>
      </c>
      <c r="H11" s="4">
        <v>96800</v>
      </c>
      <c r="I11" s="5">
        <f>C11-E11</f>
        <v>217800</v>
      </c>
      <c r="J11" s="5">
        <f>D11-F11</f>
        <v>222200</v>
      </c>
      <c r="K11" s="5">
        <f>C11-E11-G11</f>
        <v>123100</v>
      </c>
      <c r="L11" s="5">
        <f>D11-F11-H11</f>
        <v>125400</v>
      </c>
      <c r="M11" s="5">
        <f>C11-D11</f>
        <v>-4800</v>
      </c>
      <c r="N11" s="6">
        <f>IFERROR(M11/D11,0)</f>
        <v>-1.3392857142857142E-2</v>
      </c>
      <c r="O11" s="5">
        <f>K11-L11</f>
        <v>-2300</v>
      </c>
      <c r="P11" s="6">
        <f>IFERROR(K11/C11,0)</f>
        <v>0.34813348416289591</v>
      </c>
      <c r="Q11" s="6">
        <f>IFERROR(L11/D11,0)</f>
        <v>0.34988839285714285</v>
      </c>
      <c r="R11" s="6">
        <f>IFERROR(I11/C11,0)</f>
        <v>0.61595022624434392</v>
      </c>
      <c r="S11" s="6">
        <f>IFERROR(G11/C11,0)</f>
        <v>0.26781674208144796</v>
      </c>
    </row>
    <row r="12" spans="1:19">
      <c r="A12" s="2">
        <v>46327</v>
      </c>
      <c r="B12" s="3" t="s">
        <v>29</v>
      </c>
      <c r="C12" s="4">
        <v>392400</v>
      </c>
      <c r="D12" s="4">
        <v>371200</v>
      </c>
      <c r="E12" s="4">
        <v>155900</v>
      </c>
      <c r="F12" s="4">
        <v>141100</v>
      </c>
      <c r="G12" s="4">
        <v>104600</v>
      </c>
      <c r="H12" s="4">
        <v>100200</v>
      </c>
      <c r="I12" s="5">
        <f>C12-E12</f>
        <v>236500</v>
      </c>
      <c r="J12" s="5">
        <f>D12-F12</f>
        <v>230100</v>
      </c>
      <c r="K12" s="5">
        <f>C12-E12-G12</f>
        <v>131900</v>
      </c>
      <c r="L12" s="5">
        <f>D12-F12-H12</f>
        <v>129900</v>
      </c>
      <c r="M12" s="5">
        <f>C12-D12</f>
        <v>21200</v>
      </c>
      <c r="N12" s="6">
        <f>IFERROR(M12/D12,0)</f>
        <v>5.7112068965517244E-2</v>
      </c>
      <c r="O12" s="5">
        <f>K12-L12</f>
        <v>2000</v>
      </c>
      <c r="P12" s="6">
        <f>IFERROR(K12/C12,0)</f>
        <v>0.33613659531090723</v>
      </c>
      <c r="Q12" s="6">
        <f>IFERROR(L12/D12,0)</f>
        <v>0.34994612068965519</v>
      </c>
      <c r="R12" s="6">
        <f>IFERROR(I12/C12,0)</f>
        <v>0.60270132517838937</v>
      </c>
      <c r="S12" s="6">
        <f>IFERROR(G12/C12,0)</f>
        <v>0.26656472986748214</v>
      </c>
    </row>
    <row r="13" spans="1:19">
      <c r="A13" s="2">
        <v>46357</v>
      </c>
      <c r="B13" s="3" t="s">
        <v>30</v>
      </c>
      <c r="C13" s="4">
        <v>412800</v>
      </c>
      <c r="D13" s="4">
        <v>390400</v>
      </c>
      <c r="E13" s="4">
        <v>151700</v>
      </c>
      <c r="F13" s="4">
        <v>148400</v>
      </c>
      <c r="G13" s="4">
        <v>107600</v>
      </c>
      <c r="H13" s="4">
        <v>105400</v>
      </c>
      <c r="I13" s="5">
        <f>C13-E13</f>
        <v>261100</v>
      </c>
      <c r="J13" s="5">
        <f>D13-F13</f>
        <v>242000</v>
      </c>
      <c r="K13" s="5">
        <f>C13-E13-G13</f>
        <v>153500</v>
      </c>
      <c r="L13" s="5">
        <f>D13-F13-H13</f>
        <v>136600</v>
      </c>
      <c r="M13" s="5">
        <f>C13-D13</f>
        <v>22400</v>
      </c>
      <c r="N13" s="6">
        <f>IFERROR(M13/D13,0)</f>
        <v>5.737704918032787E-2</v>
      </c>
      <c r="O13" s="5">
        <f>K13-L13</f>
        <v>16900</v>
      </c>
      <c r="P13" s="6">
        <f>IFERROR(K13/C13,0)</f>
        <v>0.37185077519379844</v>
      </c>
      <c r="Q13" s="6">
        <f>IFERROR(L13/D13,0)</f>
        <v>0.34989754098360654</v>
      </c>
      <c r="R13" s="6">
        <f>IFERROR(I13/C13,0)</f>
        <v>0.63250968992248058</v>
      </c>
      <c r="S13" s="6">
        <f>IFERROR(G13/C13,0)</f>
        <v>0.26065891472868219</v>
      </c>
    </row>
  </sheetData>
  <autoFilter ref="A1:S13" xr:uid="{00000000-0009-0000-0000-000000000000}"/>
  <conditionalFormatting sqref="M2:M13">
    <cfRule type="cellIs" dxfId="1" priority="1" operator="lessThan">
      <formula>0</formula>
    </cfRule>
    <cfRule type="cellIs" dxfId="0" priority="2" operator="greater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2026-08-24T00:10:18Z</dcterms:created>
  <dcterms:modified xsi:type="dcterms:W3CDTF">2026-08-24T17:33:47Z</dcterms:modified>
  <cp:category/>
  <cp:contentStatus/>
</cp:coreProperties>
</file>